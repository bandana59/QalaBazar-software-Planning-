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dh\Downloads\cse220 final project\"/>
    </mc:Choice>
  </mc:AlternateContent>
  <xr:revisionPtr revIDLastSave="0" documentId="13_ncr:1_{43033466-8522-4DC3-9A9B-335E1B9F60A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nit Testing" sheetId="1" r:id="rId1"/>
    <sheet name="Integration Testing" sheetId="2" r:id="rId2"/>
    <sheet name="System Testing" sheetId="3" r:id="rId3"/>
    <sheet name="User Acceptance Testing" sheetId="4" r:id="rId4"/>
    <sheet name="summary" sheetId="5" r:id="rId5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5" l="1"/>
  <c r="B14" i="5"/>
  <c r="E14" i="5" s="1"/>
  <c r="C13" i="5"/>
  <c r="B13" i="5"/>
  <c r="E13" i="5" s="1"/>
  <c r="C8" i="5"/>
  <c r="B8" i="5"/>
  <c r="E8" i="5" s="1"/>
  <c r="C7" i="5"/>
  <c r="B7" i="5"/>
  <c r="E7" i="5" s="1"/>
  <c r="C6" i="5"/>
  <c r="B6" i="5"/>
  <c r="E6" i="5" s="1"/>
  <c r="C5" i="5"/>
  <c r="C9" i="5" s="1"/>
  <c r="B23" i="5" s="1"/>
  <c r="B5" i="5"/>
  <c r="E5" i="5" s="1"/>
  <c r="D8" i="5" l="1"/>
  <c r="B9" i="5"/>
  <c r="E9" i="5" s="1"/>
  <c r="D5" i="5"/>
  <c r="D6" i="5"/>
  <c r="D13" i="5"/>
  <c r="D7" i="5"/>
  <c r="D14" i="5"/>
  <c r="D9" i="5" l="1"/>
  <c r="B24" i="5" s="1"/>
</calcChain>
</file>

<file path=xl/sharedStrings.xml><?xml version="1.0" encoding="utf-8"?>
<sst xmlns="http://schemas.openxmlformats.org/spreadsheetml/2006/main" count="486" uniqueCount="305">
  <si>
    <t>Test Case ID</t>
  </si>
  <si>
    <t>Related Requirement</t>
  </si>
  <si>
    <t>Scenario Type</t>
  </si>
  <si>
    <t>Test Objective</t>
  </si>
  <si>
    <t>Preconditions</t>
  </si>
  <si>
    <t>Test Input</t>
  </si>
  <si>
    <t>Test Steps</t>
  </si>
  <si>
    <t>Expected Output</t>
  </si>
  <si>
    <t>Actual Output</t>
  </si>
  <si>
    <t>Status</t>
  </si>
  <si>
    <t>Tester</t>
  </si>
  <si>
    <t>Date Tested</t>
  </si>
  <si>
    <t>UT-01</t>
  </si>
  <si>
    <t>FR1</t>
  </si>
  <si>
    <t>Positive</t>
  </si>
  <si>
    <t>Verify the Customer Registration function accepts a complete, valid customer record.</t>
  </si>
  <si>
    <t>Registration form is open and empty; user not logged in.</t>
  </si>
  <si>
    <t>Name: Sunita Shrestha; Email: sunita@example.com; Phone: 9841022334; Password: Valid123!</t>
  </si>
  <si>
    <t>1) Enter all required fields with valid data. 2) Click 'Register'.</t>
  </si>
  <si>
    <t>Account is created; system generates a unique Customer ID (e.g., KB-C-1001) and shows a confirmation message.</t>
  </si>
  <si>
    <t>Account created; Customer ID KB-C-1001 generated; confirmation shown as expected.</t>
  </si>
  <si>
    <t>Pass</t>
  </si>
  <si>
    <t>S. Dahal (Dev)</t>
  </si>
  <si>
    <t>2026-08-10</t>
  </si>
  <si>
    <t>UT-02</t>
  </si>
  <si>
    <t>Negative</t>
  </si>
  <si>
    <t>Verify registration is blocked when a mandatory field (Email) is left blank.</t>
  </si>
  <si>
    <t>Registration form is open and empty.</t>
  </si>
  <si>
    <t>Name: Ram Thapa; Email: (blank); Password: Valid123!</t>
  </si>
  <si>
    <t>1) Leave Email blank. 2) Fill remaining fields. 3) Click 'Register'.</t>
  </si>
  <si>
    <t>Registration is blocked; validation message 'Email is required' is displayed.</t>
  </si>
  <si>
    <t>Registration blocked; correct validation message shown.</t>
  </si>
  <si>
    <t>UT-03</t>
  </si>
  <si>
    <t>Verify the password field rejects a weak password that does not meet complexity rules.</t>
  </si>
  <si>
    <t>Registration form is open.</t>
  </si>
  <si>
    <t>Password: '1234'</t>
  </si>
  <si>
    <t>1) Enter a weak password. 2) Click 'Register'.</t>
  </si>
  <si>
    <t>Registration is blocked; message 'Password must be at least 8 characters and include a number' is shown.</t>
  </si>
  <si>
    <t>Registration proceeded without a validation error; weak password was accepted and stored.</t>
  </si>
  <si>
    <t>Fail</t>
  </si>
  <si>
    <t>UT-04</t>
  </si>
  <si>
    <t>FR11</t>
  </si>
  <si>
    <t>Verify a registered user can log in with correct credentials.</t>
  </si>
  <si>
    <t>User account 'sunita_s' exists with a known valid password.</t>
  </si>
  <si>
    <t>Username: sunita_s; Password: (valid)</t>
  </si>
  <si>
    <t>1) Enter valid username/password. 2) Click 'Login'.</t>
  </si>
  <si>
    <t>User is authenticated and redirected to their dashboard.</t>
  </si>
  <si>
    <t>Login successful; dashboard loaded in 1.2 seconds.</t>
  </si>
  <si>
    <t>UT-05</t>
  </si>
  <si>
    <t>Verify login is rejected when an incorrect password is entered.</t>
  </si>
  <si>
    <t>User account 'sunita_s' exists.</t>
  </si>
  <si>
    <t>Username: sunita_s; Password: 'wrongPass1'</t>
  </si>
  <si>
    <t>1) Enter valid username, incorrect password. 2) Click 'Login'.</t>
  </si>
  <si>
    <t>Login is rejected; message 'Invalid username or password' is shown.</t>
  </si>
  <si>
    <t>Login rejected with the correct message displayed.</t>
  </si>
  <si>
    <t>UT-06</t>
  </si>
  <si>
    <t>FR4</t>
  </si>
  <si>
    <t>Verify the stock-availability check function correctly reports an in-stock product.</t>
  </si>
  <si>
    <t>Product 'Hand-woven Dhaka Scarf' has 5 units in stock.</t>
  </si>
  <si>
    <t>Product ID: KB-P-2001; requested quantity: 1</t>
  </si>
  <si>
    <t>1) Call the availability-check function for the given product/quantity.</t>
  </si>
  <si>
    <t>Function returns Available = true.</t>
  </si>
  <si>
    <t>Function returned Available = true, matching the expected result.</t>
  </si>
  <si>
    <t>2026-08-11</t>
  </si>
  <si>
    <t>UT-07</t>
  </si>
  <si>
    <t>Verify the stock-availability check function correctly blocks an out-of-stock product.</t>
  </si>
  <si>
    <t>Product 'Ceramic Tea Set' has 0 units in stock.</t>
  </si>
  <si>
    <t>Product ID: KB-P-2002; requested quantity: 1</t>
  </si>
  <si>
    <t>Function returns Available = false with an 'Out of stock' flag.</t>
  </si>
  <si>
    <t>Function returned Available = false; correct flag shown.</t>
  </si>
  <si>
    <t>UT-08</t>
  </si>
  <si>
    <t>FR3</t>
  </si>
  <si>
    <t>Verify the product-search function returns the correct result for an exact product name match.</t>
  </si>
  <si>
    <t>Product 'Hand-woven Dhaka Scarf' exists in the catalog.</t>
  </si>
  <si>
    <t>Search term: 'Dhaka Scarf'</t>
  </si>
  <si>
    <t>1) Enter 'Dhaka Scarf' into the search field. 2) Press Enter.</t>
  </si>
  <si>
    <t>At least one matching product for the Dhaka Scarf is displayed.</t>
  </si>
  <si>
    <t>One matching product displayed correctly.</t>
  </si>
  <si>
    <t>UT-09</t>
  </si>
  <si>
    <t>FR6</t>
  </si>
  <si>
    <t>Verify the payment function rejects a transaction when the payment gateway returns a declined response.</t>
  </si>
  <si>
    <t>Cart total is Rs. 1,500; payment gateway configured to simulate a decline.</t>
  </si>
  <si>
    <t>Card/payment details that trigger a simulated decline response</t>
  </si>
  <si>
    <t>1) Submit payment with the decline-triggering test details.</t>
  </si>
  <si>
    <t>Payment is not completed; message 'Payment declined, please try again' is shown; order is not created.</t>
  </si>
  <si>
    <t>Payment was marked as completed and an order was created despite the simulated decline response.</t>
  </si>
  <si>
    <t>UT-10</t>
  </si>
  <si>
    <t>FR2</t>
  </si>
  <si>
    <t>Verify the add-product-listing function saves a new listing with all required fields.</t>
  </si>
  <si>
    <t>Seller is logged in; product form is open and empty.</t>
  </si>
  <si>
    <t>Name: 'Hand-carved Wooden Bowl'; Price: Rs. 850; Category: Home Decor; Stock: 10</t>
  </si>
  <si>
    <t>1) Enter all required fields. 2) Click 'Add Product'.</t>
  </si>
  <si>
    <t>Listing is saved and appears in the seller's product list with status 'Active'.</t>
  </si>
  <si>
    <t>Listing saved and appeared correctly with status Active.</t>
  </si>
  <si>
    <t>IT-01</t>
  </si>
  <si>
    <t>FR1, FR2</t>
  </si>
  <si>
    <t>Verify a newly registered seller's account correctly flows into the Seller Dashboard module with permission to add products.</t>
  </si>
  <si>
    <t>Registration and Seller Dashboard modules are connected to the staging database.</t>
  </si>
  <si>
    <t>New seller 'Kiran Maharjan' registered via Registration module.</t>
  </si>
  <si>
    <t>1) Register Kiran Maharjan as a seller. 2) Open Seller Dashboard and check for 'Add Product' access.</t>
  </si>
  <si>
    <t>Kiran Maharjan's account appears in Seller Dashboard with full add-product access.</t>
  </si>
  <si>
    <t>Account appeared immediately with full access as expected.</t>
  </si>
  <si>
    <t>B. Pandey (QA)</t>
  </si>
  <si>
    <t>2026-08-12</t>
  </si>
  <si>
    <t>IT-02</t>
  </si>
  <si>
    <t>FR2, FR3</t>
  </si>
  <si>
    <t>Verify a product added by a seller appears correctly in the customer-facing Search/Browse module.</t>
  </si>
  <si>
    <t>Seller and Search modules are both connected to the staging database.</t>
  </si>
  <si>
    <t>Add product: 'Pashmina Shawl', Price Rs. 3,200, Category: Textiles.</t>
  </si>
  <si>
    <t>1) Add product via Seller module. 2) Open Search/Browse module and search for 'Pashmina Shawl'.</t>
  </si>
  <si>
    <t>The new product appears in search results with correct price and category.</t>
  </si>
  <si>
    <t>Product appeared correctly in search results.</t>
  </si>
  <si>
    <t>IT-03</t>
  </si>
  <si>
    <t>Verify the Search module returns a 'No products found' message (not a system error) when a search term matches nothing.</t>
  </si>
  <si>
    <t>No products named 'Xyzabc123' exist in the catalog.</t>
  </si>
  <si>
    <t>Search term: 'Xyzabc123'</t>
  </si>
  <si>
    <t>1) Enter 'Xyzabc123' in the search box. 2) Press Enter.</t>
  </si>
  <si>
    <t>System displays 'No products found' without crashing or throwing a system error.</t>
  </si>
  <si>
    <t>Message displayed correctly; no crash.</t>
  </si>
  <si>
    <t>IT-04</t>
  </si>
  <si>
    <t>FR5, FR6</t>
  </si>
  <si>
    <t>Verify the Checkout module blocks payment when the cart is empty.</t>
  </si>
  <si>
    <t>Customer is logged in; cart contains 0 items.</t>
  </si>
  <si>
    <t>Attempt to proceed to checkout with an empty cart.</t>
  </si>
  <si>
    <t>1) Open Checkout with an empty cart. 2) Attempt to confirm payment.</t>
  </si>
  <si>
    <t>Checkout is blocked; message 'Your cart is empty' is shown.</t>
  </si>
  <si>
    <t>Checkout proceeded to the payment page despite the empty cart; no validation message appeared.</t>
  </si>
  <si>
    <t>IT-05</t>
  </si>
  <si>
    <t>Verify a completed checkout correctly creates an order record and links to the Order Tracking module.</t>
  </si>
  <si>
    <t>Customer has 2 items in cart; payment gateway sandbox is active.</t>
  </si>
  <si>
    <t>Checkout: 2 items, total Rs. 2,750, payment via eSewa sandbox.</t>
  </si>
  <si>
    <t>1) Complete checkout and payment. 2) Open Order Tracking module for the customer.</t>
  </si>
  <si>
    <t>New order appears in Order Tracking with status 'Placed' and correct item/amount details.</t>
  </si>
  <si>
    <t>Order appeared correctly with status Placed and correct details.</t>
  </si>
  <si>
    <t>IT-06</t>
  </si>
  <si>
    <t>FR11, NFR1</t>
  </si>
  <si>
    <t>Verify that after logout, the session module correctly revokes access to protected modules.</t>
  </si>
  <si>
    <t>User is logged in and has an active session.</t>
  </si>
  <si>
    <t>User clicks 'Logout'.</t>
  </si>
  <si>
    <t>1) Click Logout. 2) Attempt to navigate back to the Order History page using the browser back button.</t>
  </si>
  <si>
    <t>User is redirected to the login page; protected page is not accessible without re-authentication.</t>
  </si>
  <si>
    <t>User redirected to login page; protected page inaccessible as expected.</t>
  </si>
  <si>
    <t>2026-08-13</t>
  </si>
  <si>
    <t>IT-07</t>
  </si>
  <si>
    <t>NFR1</t>
  </si>
  <si>
    <t>Verify a customer account is blocked from accessing the seller-only Product Management module.</t>
  </si>
  <si>
    <t>Customer role does not have permission to manage products.</t>
  </si>
  <si>
    <t>Customer attempts to open the Seller Dashboard's 'Manage Products' page directly via URL.</t>
  </si>
  <si>
    <t>1) Log in as customer. 2) Navigate directly to the Manage Products URL.</t>
  </si>
  <si>
    <t>Access is denied; message 'You do not have permission to view this page' is shown.</t>
  </si>
  <si>
    <t>Access denied with the correct message shown.</t>
  </si>
  <si>
    <t>IT-08</t>
  </si>
  <si>
    <t>FR4, FR6</t>
  </si>
  <si>
    <t>Verify the Inventory and Payment modules together prevent two customers from purchasing the last unit of a product simultaneously.</t>
  </si>
  <si>
    <t>Product 'Silver Filigree Earrings' has exactly 1 unit in stock.</t>
  </si>
  <si>
    <t>Two customers (Customer A, Customer B) simultaneously attempt to purchase the last unit.</t>
  </si>
  <si>
    <t>1) Customer A submits payment for the item. 2) Customer B submits payment for the same item moments later.</t>
  </si>
  <si>
    <t>Only one purchase is confirmed; the second customer receives an 'Item no longer available' message and is not charged.</t>
  </si>
  <si>
    <t>Only Customer A's purchase was confirmed; Customer B received the correct message and was not charged.</t>
  </si>
  <si>
    <t>ST-01</t>
  </si>
  <si>
    <t>FR1, FR2, FR3</t>
  </si>
  <si>
    <t>End-to-end: seller registers, lists a new product, and it is immediately retrievable via customer search.</t>
  </si>
  <si>
    <t>Seller logged in; system running on staging environment.</t>
  </si>
  <si>
    <t>New product 'Hand-painted Mithila Art', Price Rs. 1,800.</t>
  </si>
  <si>
    <t>1) Add product as seller. 2) Search for the product by name as a customer. 3) Open the returned listing.</t>
  </si>
  <si>
    <t>Product listing succeeds; searching by name returns the product with all details matching input.</t>
  </si>
  <si>
    <t>Listing and search both worked correctly; details matched.</t>
  </si>
  <si>
    <t>B. Pandey (QA Lead)</t>
  </si>
  <si>
    <t>ST-02</t>
  </si>
  <si>
    <t>FR5, FR6, FR7</t>
  </si>
  <si>
    <t>End-to-end: customer completes checkout and the order status updates in real time in Order Tracking.</t>
  </si>
  <si>
    <t>Customer has items in cart; payment gateway sandbox accessible.</t>
  </si>
  <si>
    <t>Checkout 2 items, total Rs. 2,100, payment via Khalti sandbox.</t>
  </si>
  <si>
    <t>1) Complete checkout. 2) Open Order Tracking view without logging out.</t>
  </si>
  <si>
    <t>New order is visible in Order Tracking within a few seconds, with status 'Placed'.</t>
  </si>
  <si>
    <t>Order appeared within 2 seconds of checkout with correct status.</t>
  </si>
  <si>
    <t>ST-03</t>
  </si>
  <si>
    <t>Verify the full system prevents overselling when two customers attempt to buy the last unit of a product concurrently.</t>
  </si>
  <si>
    <t>Product 'Brass Singing Bowl' has exactly 1 unit in stock.</t>
  </si>
  <si>
    <t>Two devices submit payment for the same last unit within the same second.</t>
  </si>
  <si>
    <t>1) Device A submits payment. 2) Device B submits payment for the identical item.</t>
  </si>
  <si>
    <t>Only one purchase is saved; the other device receives a conflict message and is not charged.</t>
  </si>
  <si>
    <t>Only Device A's purchase was saved; Device B received the conflict message as expected.</t>
  </si>
  <si>
    <t>2026-08-14</t>
  </si>
  <si>
    <t>ST-04</t>
  </si>
  <si>
    <t>Verify a customer can search and retrieve products using a combination of category and price range filters.</t>
  </si>
  <si>
    <t>Multiple products exist across several categories and price points.</t>
  </si>
  <si>
    <t>Filters: Category = 'Jewelry', Price = Rs. 500-2,000.</t>
  </si>
  <si>
    <t>1) Apply both filter criteria. 2) Submit search.</t>
  </si>
  <si>
    <t>System returns only products matching both the category and price range, avoiding irrelevant results.</t>
  </si>
  <si>
    <t>Correct filtered results returned.</t>
  </si>
  <si>
    <t>ST-05</t>
  </si>
  <si>
    <t>NFR2</t>
  </si>
  <si>
    <t>Verify the system responds to a product-search request within an acceptable time under normal load.</t>
  </si>
  <si>
    <t>Catalog contains at least 500 sample product records.</t>
  </si>
  <si>
    <t>Search term: 'scarf'</t>
  </si>
  <si>
    <t>1) Submit search. 2) Measure response time.</t>
  </si>
  <si>
    <t>Result is displayed within 3 seconds, per the response-time target in NFR2.</t>
  </si>
  <si>
    <t>Result displayed in 1.6 seconds.</t>
  </si>
  <si>
    <t>ST-06</t>
  </si>
  <si>
    <t>NFR1, FR11</t>
  </si>
  <si>
    <t>Verify an unauthenticated user attempting to access the Order History page directly (bypassing login) is denied access with a clear message.</t>
  </si>
  <si>
    <t>User is logged out; no active session.</t>
  </si>
  <si>
    <t>User manually enters the direct URL of the Order History page.</t>
  </si>
  <si>
    <t>1) Log out. 2) Paste the direct Order History URL into the address bar. 3) Press Enter.</t>
  </si>
  <si>
    <t>User is redirected to the login page with the message 'Please log in to continue.'</t>
  </si>
  <si>
    <t>User was redirected, but a generic error page appeared briefly before the login page loaded, instead of a clean redirect with the intended message.</t>
  </si>
  <si>
    <t>ST-07</t>
  </si>
  <si>
    <t>NFR5</t>
  </si>
  <si>
    <t>Verify the scheduled nightly backup completes successfully and product/order data can be restored from it.</t>
  </si>
  <si>
    <t>Backup job is scheduled to run at 1:00 AM daily on the staging environment.</t>
  </si>
  <si>
    <t>Trigger the scheduled backup job manually for test purposes.</t>
  </si>
  <si>
    <t>1) Run backup job. 2) Restore the backup to a separate test instance. 3) Compare record counts.</t>
  </si>
  <si>
    <t>Backup completes without error; restored instance record counts match the source exactly.</t>
  </si>
  <si>
    <t>Backup completed; restored record counts matched exactly.</t>
  </si>
  <si>
    <t>ST-08</t>
  </si>
  <si>
    <t>NFR7</t>
  </si>
  <si>
    <t>Verify core functions (search, cart, checkout) work correctly on both desktop Chrome and a mobile browser.</t>
  </si>
  <si>
    <t>Chrome available on desktop and on a mobile device.</t>
  </si>
  <si>
    <t>Perform search + add-to-cart on desktop; perform checkout on mobile Chrome.</t>
  </si>
  <si>
    <t>1) Complete search and add-to-cart on desktop. 2) Open cart and complete checkout on mobile.</t>
  </si>
  <si>
    <t>All functions display and behave consistently on both devices with no layout or functional errors.</t>
  </si>
  <si>
    <t>Both devices displayed and functioned consistently.</t>
  </si>
  <si>
    <t>UAT-01</t>
  </si>
  <si>
    <t>A first-time customer registers an account unassisted, within an acceptable time.</t>
  </si>
  <si>
    <t>Customer has received no formal training on the platform.</t>
  </si>
  <si>
    <t>Real customer details (synthetic data used for testing).</t>
  </si>
  <si>
    <t>1) Customer completes registration unassisted, without help from the QA team.</t>
  </si>
  <si>
    <t>Registration completed correctly within 3 minutes, without needing developer/QA assistance.</t>
  </si>
  <si>
    <t>Completed in 2 minutes 30 seconds, unassisted.</t>
  </si>
  <si>
    <t>R. Karki (Customer)</t>
  </si>
  <si>
    <t>2026-08-15</t>
  </si>
  <si>
    <t>UAT-02</t>
  </si>
  <si>
    <t>Customer adds a product to cart, checks out, and pays using their preferred payment method.</t>
  </si>
  <si>
    <t>Customer logged in; product catalog available.</t>
  </si>
  <si>
    <t>Add 1 item to cart; checkout using eSewa.</t>
  </si>
  <si>
    <t>1) Search product. 2) Add to cart. 3) Checkout and pay.</t>
  </si>
  <si>
    <t>Order is placed and a confirmation is shown to the customer.</t>
  </si>
  <si>
    <t>Order placed and confirmation displayed correctly.</t>
  </si>
  <si>
    <t>UAT-03</t>
  </si>
  <si>
    <t>FR7</t>
  </si>
  <si>
    <t>Customer views the real-time status of their placed order.</t>
  </si>
  <si>
    <t>Customer account exists with at least one active order.</t>
  </si>
  <si>
    <t>Customer logs in and opens 'My Orders'.</t>
  </si>
  <si>
    <t>1) Log in as customer. 2) Open 'My Orders'.</t>
  </si>
  <si>
    <t>Customer sees an accurate, up-to-date order status (e.g., Placed, Packed, Shipped).</t>
  </si>
  <si>
    <t>Order status displayed accurately and matched the seller's update.</t>
  </si>
  <si>
    <t>UAT-04</t>
  </si>
  <si>
    <t>Seller adds a new product listing and manages existing inventory.</t>
  </si>
  <si>
    <t>Seller account exists with listing permission.</t>
  </si>
  <si>
    <t>Add product: 'Hemp Tote Bag', Price Rs. 950, Stock 15.</t>
  </si>
  <si>
    <t>1) Log in as seller. 2) Add the new product listing.</t>
  </si>
  <si>
    <t>Product is saved and visible in the seller's product list, ready for customers to view.</t>
  </si>
  <si>
    <t>Product saved and visible as expected.</t>
  </si>
  <si>
    <t>K. Maharjan (Seller)</t>
  </si>
  <si>
    <t>UAT-05</t>
  </si>
  <si>
    <t>NFR3</t>
  </si>
  <si>
    <t>A first-time seller lists a product relying only on the system's on-screen labels/prompts (no formal training).</t>
  </si>
  <si>
    <t>New seller has not used the platform before; given no instruction beyond login credentials.</t>
  </si>
  <si>
    <t>Same product details as TC-A-04.</t>
  </si>
  <si>
    <t>1) New seller attempts to add a product independently.</t>
  </si>
  <si>
    <t>Seller completes the task without asking for help, indicating the interface is intuitive (NFR3).</t>
  </si>
  <si>
    <t>Task completed independently in 5 minutes with one brief pause to locate the 'Publish' button.</t>
  </si>
  <si>
    <t>UAT-06</t>
  </si>
  <si>
    <t>Customer logs out at the end of a session and confirms the session is fully closed.</t>
  </si>
  <si>
    <t>Customer is logged in.</t>
  </si>
  <si>
    <t>Click 'Logout'; then reopen the browser tab.</t>
  </si>
  <si>
    <t>1) Click Logout. 2) Reopen a new tab and navigate to the platform URL.</t>
  </si>
  <si>
    <t>User is prompted to log in again; no order or account data is visible without re-authentication.</t>
  </si>
  <si>
    <t>Login prompt shown; no data visible without logging in again.</t>
  </si>
  <si>
    <t>UAT-07</t>
  </si>
  <si>
    <t>Customer attempts to purchase an item that just went out of stock.</t>
  </si>
  <si>
    <t>An item's last unit was purchased by another customer moments earlier.</t>
  </si>
  <si>
    <t>Customer selects the same item and attempts to check out.</t>
  </si>
  <si>
    <t>1) Attempt to complete checkout for the now out-of-stock item.</t>
  </si>
  <si>
    <t>System prevents the purchase and clearly explains why, suggesting similar available products.</t>
  </si>
  <si>
    <t>Purchase was correctly prevented, but the on-screen message only said 'Unable to complete order' without explaining why or suggesting alternatives.</t>
  </si>
  <si>
    <t>Fail (Minor)</t>
  </si>
  <si>
    <t>UAT-08</t>
  </si>
  <si>
    <t>NFR4</t>
  </si>
  <si>
    <t>Customer attempts to browse and place an order during a simulated maintenance window.</t>
  </si>
  <si>
    <t>Platform maintenance window is simulated for 2:00 AM-2:30 AM.</t>
  </si>
  <si>
    <t>Attempt to place an order during the simulated maintenance window.</t>
  </si>
  <si>
    <t>1) Attempt the checkout action with the system clock/test flag set to the maintenance window.</t>
  </si>
  <si>
    <t>System either restricts the action per policy or clearly states the platform is under maintenance, with an estimated return time.</t>
  </si>
  <si>
    <t>Action was restricted as expected, with a message stating the maintenance window and expected return time.</t>
  </si>
  <si>
    <t>By Test Level</t>
  </si>
  <si>
    <t>Test Level</t>
  </si>
  <si>
    <t>Total</t>
  </si>
  <si>
    <t>Pass Rate</t>
  </si>
  <si>
    <t>Unit</t>
  </si>
  <si>
    <t>Integration</t>
  </si>
  <si>
    <t>System</t>
  </si>
  <si>
    <t>UAT</t>
  </si>
  <si>
    <t>By Scenario Type</t>
  </si>
  <si>
    <t>R. KC (Customer)</t>
  </si>
  <si>
    <t>\</t>
  </si>
  <si>
    <t>]</t>
  </si>
  <si>
    <t>"</t>
  </si>
  <si>
    <t>QalaBazaar - Test Execution Summary</t>
  </si>
  <si>
    <t>QalaBazaar E-commerce Platform (QMS) - User Acceptance Testing</t>
  </si>
  <si>
    <t>q</t>
  </si>
  <si>
    <t>QalaBazaar E-commerce Platform (QMS) - System Testing</t>
  </si>
  <si>
    <t>QalaBazaar E-commerce Platform (QMS) - Integration Testing</t>
  </si>
  <si>
    <t>QalaBazaar E-commerce Platform (QMS) - Unit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</si>
</sst>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Times New Roman"/>
      <charset val="1"/>
    </font>
    <font>
      <sz val="10"/>
      <name val="Times New Roman"/>
      <charset val="1"/>
    </font>
    <font>
      <b/>
      <sz val="12"/>
      <color rgb="FF1B2A38"/>
      <name val="Times New Roman"/>
      <charset val="1"/>
    </font>
    <font>
      <b/>
      <sz val="10"/>
      <name val="Times New Roman"/>
      <charset val="1"/>
    </font>
    <font>
      <b/>
      <sz val="10"/>
      <color theme="1"/>
      <name val="Times New Roman"/>
      <family val="1"/>
    </font>
    <font>
      <b/>
      <sz val="13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6"/>
        <bgColor rgb="FF1B2A38"/>
      </patternFill>
    </fill>
    <fill>
      <patternFill patternType="solid">
        <fgColor theme="6"/>
        <bgColor indexed="64"/>
      </patternFill>
    </fill>
    <fill>
      <patternFill patternType="solid">
        <fgColor theme="0"/>
        <bgColor rgb="FF003366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0" fillId="3" borderId="0" xfId="0" applyFill="1"/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5" borderId="0" xfId="0" applyFill="1"/>
    <xf numFmtId="0" fontId="8" fillId="0" borderId="0" xfId="0" applyFont="1"/>
    <xf numFmtId="0" fontId="7" fillId="0" borderId="1" xfId="0" applyFont="1" applyBorder="1" applyAlignment="1">
      <alignment horizontal="left" vertical="center" wrapText="1"/>
    </xf>
    <xf numFmtId="0" fontId="6" fillId="4" borderId="0" xfId="0" applyFont="1" applyFill="1" applyAlignment="1">
      <alignment horizontal="center" vertical="center"/>
    </xf>
    <xf numFmtId="0" fontId="0" fillId="0" borderId="0" xfId="0"/>
    <xf numFmtId="0" fontId="9" fillId="4" borderId="0" xfId="0" applyFont="1" applyFill="1" applyAlignment="1">
      <alignment horizontal="center" vertical="center"/>
    </xf>
  </cellXfs>
  <cellStyles count="1">
    <cellStyle name="Normal" xfId="0" builtinId="0"/>
  </cellStyles>
  <dxfs count="12">
    <dxf>
      <font>
        <sz val="10"/>
        <color rgb="FF9C5700"/>
        <name val="Times New Roman"/>
        <charset val="1"/>
      </font>
      <fill>
        <patternFill>
          <bgColor rgb="FFFFEB9C"/>
        </patternFill>
      </fill>
    </dxf>
    <dxf>
      <font>
        <sz val="10"/>
        <color rgb="FF9C0006"/>
        <name val="Times New Roman"/>
        <charset val="1"/>
      </font>
      <fill>
        <patternFill>
          <bgColor rgb="FFFFC7CE"/>
        </patternFill>
      </fill>
    </dxf>
    <dxf>
      <font>
        <sz val="10"/>
        <color rgb="FF006100"/>
        <name val="Times New Roman"/>
        <charset val="1"/>
      </font>
      <fill>
        <patternFill>
          <bgColor rgb="FFC6EFCE"/>
        </patternFill>
      </fill>
    </dxf>
    <dxf>
      <font>
        <sz val="10"/>
        <color rgb="FF9C5700"/>
        <name val="Times New Roman"/>
        <charset val="1"/>
      </font>
      <fill>
        <patternFill>
          <bgColor rgb="FFFFEB9C"/>
        </patternFill>
      </fill>
    </dxf>
    <dxf>
      <font>
        <sz val="10"/>
        <color rgb="FF9C0006"/>
        <name val="Times New Roman"/>
        <charset val="1"/>
      </font>
      <fill>
        <patternFill>
          <bgColor rgb="FFFFC7CE"/>
        </patternFill>
      </fill>
    </dxf>
    <dxf>
      <font>
        <sz val="10"/>
        <color rgb="FF006100"/>
        <name val="Times New Roman"/>
        <charset val="1"/>
      </font>
      <fill>
        <patternFill>
          <bgColor rgb="FFC6EFCE"/>
        </patternFill>
      </fill>
    </dxf>
    <dxf>
      <font>
        <sz val="10"/>
        <color rgb="FF9C5700"/>
        <name val="Times New Roman"/>
        <charset val="1"/>
      </font>
      <fill>
        <patternFill>
          <bgColor rgb="FFFFEB9C"/>
        </patternFill>
      </fill>
    </dxf>
    <dxf>
      <font>
        <sz val="10"/>
        <color rgb="FF9C0006"/>
        <name val="Times New Roman"/>
        <charset val="1"/>
      </font>
      <fill>
        <patternFill>
          <bgColor rgb="FFFFC7CE"/>
        </patternFill>
      </fill>
    </dxf>
    <dxf>
      <font>
        <sz val="10"/>
        <color rgb="FF006100"/>
        <name val="Times New Roman"/>
        <charset val="1"/>
      </font>
      <fill>
        <patternFill>
          <bgColor rgb="FFC6EFCE"/>
        </patternFill>
      </fill>
    </dxf>
    <dxf>
      <font>
        <sz val="10"/>
        <color rgb="FF9C5700"/>
        <name val="Times New Roman"/>
        <charset val="1"/>
      </font>
      <fill>
        <patternFill>
          <bgColor rgb="FFFFEB9C"/>
        </patternFill>
      </fill>
    </dxf>
    <dxf>
      <font>
        <sz val="10"/>
        <color rgb="FF9C0006"/>
        <name val="Times New Roman"/>
        <charset val="1"/>
      </font>
      <fill>
        <patternFill>
          <bgColor rgb="FFFFC7CE"/>
        </patternFill>
      </fill>
    </dxf>
    <dxf>
      <font>
        <sz val="10"/>
        <color rgb="FF006100"/>
        <name val="Times New Roman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70AD47"/>
      <rgbColor rgb="FF003366"/>
      <rgbColor rgb="FF339966"/>
      <rgbColor rgb="FF003300"/>
      <rgbColor rgb="FF333300"/>
      <rgbColor rgb="FF9C5700"/>
      <rgbColor rgb="FF993366"/>
      <rgbColor rgb="FF2E4057"/>
      <rgbColor rgb="FF1B2A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Test Results by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summary!$C$4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summary!$A$5:$A$8</c:f>
              <c:strCache>
                <c:ptCount val="4"/>
                <c:pt idx="0">
                  <c:v>Unit</c:v>
                </c:pt>
                <c:pt idx="1">
                  <c:v>Integration</c:v>
                </c:pt>
                <c:pt idx="2">
                  <c:v>System</c:v>
                </c:pt>
                <c:pt idx="3">
                  <c:v>UAT</c:v>
                </c:pt>
              </c:strCache>
            </c:strRef>
          </c:cat>
          <c:val>
            <c:numRef>
              <c:f>summary!$C$5:$C$8</c:f>
              <c:numCache>
                <c:formatCode>General</c:formatCode>
                <c:ptCount val="4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CB-4A95-83C7-3AC4E0DCBD8A}"/>
            </c:ext>
          </c:extLst>
        </c:ser>
        <c:ser>
          <c:idx val="1"/>
          <c:order val="1"/>
          <c:tx>
            <c:strRef>
              <c:f>summary!$D$4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summary!$A$5:$A$8</c:f>
              <c:strCache>
                <c:ptCount val="4"/>
                <c:pt idx="0">
                  <c:v>Unit</c:v>
                </c:pt>
                <c:pt idx="1">
                  <c:v>Integration</c:v>
                </c:pt>
                <c:pt idx="2">
                  <c:v>System</c:v>
                </c:pt>
                <c:pt idx="3">
                  <c:v>UAT</c:v>
                </c:pt>
              </c:strCache>
            </c:strRef>
          </c:cat>
          <c:val>
            <c:numRef>
              <c:f>summary!$D$5:$D$8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CB-4A95-83C7-3AC4E0DCB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206621"/>
        <c:axId val="82612717"/>
      </c:barChart>
      <c:catAx>
        <c:axId val="972066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Test Level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612717"/>
        <c:crosses val="autoZero"/>
        <c:auto val="1"/>
        <c:lblAlgn val="ctr"/>
        <c:lblOffset val="100"/>
        <c:noMultiLvlLbl val="0"/>
      </c:catAx>
      <c:valAx>
        <c:axId val="826127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Test 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2066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Overall Pass / Fail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70AD4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54E-4F5D-9734-7E81428085A3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54E-4F5D-9734-7E81428085A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54E-4F5D-9734-7E81428085A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54E-4F5D-9734-7E81428085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summary!$A$23:$A$24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summary!$B$23:$B$24</c:f>
              <c:numCache>
                <c:formatCode>General</c:formatCode>
                <c:ptCount val="2"/>
                <c:pt idx="0">
                  <c:v>29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4E-4F5D-9734-7E8142808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14</xdr:col>
      <xdr:colOff>506880</xdr:colOff>
      <xdr:row>17</xdr:row>
      <xdr:rowOff>36840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18</xdr:row>
      <xdr:rowOff>0</xdr:rowOff>
    </xdr:from>
    <xdr:to>
      <xdr:col>11</xdr:col>
      <xdr:colOff>541440</xdr:colOff>
      <xdr:row>33</xdr:row>
      <xdr:rowOff>21960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zoomScaleNormal="100" workbookViewId="0">
      <pane ySplit="3" topLeftCell="A4" activePane="bottomLeft" state="frozen"/>
      <selection pane="bottomLeft" activeCell="E4" sqref="E4"/>
    </sheetView>
  </sheetViews>
  <sheetFormatPr defaultColWidth="8.6640625" defaultRowHeight="14.4" x14ac:dyDescent="0.3"/>
  <cols>
    <col min="1" max="1" width="11" customWidth="1"/>
    <col min="2" max="2" width="14" customWidth="1"/>
    <col min="3" max="3" width="12" customWidth="1"/>
    <col min="4" max="4" width="26" customWidth="1"/>
    <col min="5" max="5" width="24" customWidth="1"/>
    <col min="6" max="6" width="22" customWidth="1"/>
    <col min="7" max="7" width="26" customWidth="1"/>
    <col min="8" max="9" width="28" customWidth="1"/>
    <col min="10" max="10" width="12" customWidth="1"/>
    <col min="11" max="11" width="16" customWidth="1"/>
    <col min="12" max="12" width="14" customWidth="1"/>
  </cols>
  <sheetData>
    <row r="1" spans="1:12" ht="19.5" customHeight="1" x14ac:dyDescent="0.3">
      <c r="A1" s="16" t="s">
        <v>304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6" customHeight="1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9" customFormat="1" ht="27.75" customHeight="1" x14ac:dyDescent="0.3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</row>
    <row r="4" spans="1:12" ht="57.75" customHeight="1" x14ac:dyDescent="0.3">
      <c r="A4" s="1" t="s">
        <v>12</v>
      </c>
      <c r="B4" s="1" t="s">
        <v>13</v>
      </c>
      <c r="C4" s="1" t="s">
        <v>14</v>
      </c>
      <c r="D4" s="15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1" t="s">
        <v>21</v>
      </c>
      <c r="K4" s="1" t="s">
        <v>22</v>
      </c>
      <c r="L4" s="1" t="s">
        <v>23</v>
      </c>
    </row>
    <row r="5" spans="1:12" ht="57.75" customHeight="1" x14ac:dyDescent="0.3">
      <c r="A5" s="1" t="s">
        <v>24</v>
      </c>
      <c r="B5" s="1" t="s">
        <v>13</v>
      </c>
      <c r="C5" s="1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31</v>
      </c>
      <c r="J5" s="1" t="s">
        <v>21</v>
      </c>
      <c r="K5" s="1" t="s">
        <v>22</v>
      </c>
      <c r="L5" s="1" t="s">
        <v>23</v>
      </c>
    </row>
    <row r="6" spans="1:12" ht="57.75" customHeight="1" x14ac:dyDescent="0.3">
      <c r="A6" s="1" t="s">
        <v>32</v>
      </c>
      <c r="B6" s="1" t="s">
        <v>13</v>
      </c>
      <c r="C6" s="1" t="s">
        <v>25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  <c r="I6" s="2" t="s">
        <v>38</v>
      </c>
      <c r="J6" s="1" t="s">
        <v>39</v>
      </c>
      <c r="K6" s="1" t="s">
        <v>22</v>
      </c>
      <c r="L6" s="1" t="s">
        <v>23</v>
      </c>
    </row>
    <row r="7" spans="1:12" ht="57.75" customHeight="1" x14ac:dyDescent="0.3">
      <c r="A7" s="1" t="s">
        <v>40</v>
      </c>
      <c r="B7" s="1" t="s">
        <v>41</v>
      </c>
      <c r="C7" s="1" t="s">
        <v>14</v>
      </c>
      <c r="D7" s="2" t="s">
        <v>42</v>
      </c>
      <c r="E7" s="2" t="s">
        <v>43</v>
      </c>
      <c r="F7" s="2" t="s">
        <v>44</v>
      </c>
      <c r="G7" s="2" t="s">
        <v>45</v>
      </c>
      <c r="H7" s="2" t="s">
        <v>46</v>
      </c>
      <c r="I7" s="2" t="s">
        <v>47</v>
      </c>
      <c r="J7" s="1" t="s">
        <v>21</v>
      </c>
      <c r="K7" s="1" t="s">
        <v>22</v>
      </c>
      <c r="L7" s="1" t="s">
        <v>23</v>
      </c>
    </row>
    <row r="8" spans="1:12" ht="57.75" customHeight="1" x14ac:dyDescent="0.3">
      <c r="A8" s="1" t="s">
        <v>48</v>
      </c>
      <c r="B8" s="1" t="s">
        <v>41</v>
      </c>
      <c r="C8" s="1" t="s">
        <v>25</v>
      </c>
      <c r="D8" s="2" t="s">
        <v>49</v>
      </c>
      <c r="E8" s="2" t="s">
        <v>50</v>
      </c>
      <c r="F8" s="2" t="s">
        <v>51</v>
      </c>
      <c r="G8" s="2" t="s">
        <v>52</v>
      </c>
      <c r="H8" s="2" t="s">
        <v>53</v>
      </c>
      <c r="I8" s="2" t="s">
        <v>54</v>
      </c>
      <c r="J8" s="1" t="s">
        <v>21</v>
      </c>
      <c r="K8" s="1" t="s">
        <v>22</v>
      </c>
      <c r="L8" s="1" t="s">
        <v>23</v>
      </c>
    </row>
    <row r="9" spans="1:12" ht="57.75" customHeight="1" x14ac:dyDescent="0.3">
      <c r="A9" s="1" t="s">
        <v>55</v>
      </c>
      <c r="B9" s="1" t="s">
        <v>56</v>
      </c>
      <c r="C9" s="1" t="s">
        <v>14</v>
      </c>
      <c r="D9" s="2" t="s">
        <v>57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1" t="s">
        <v>21</v>
      </c>
      <c r="K9" s="1" t="s">
        <v>22</v>
      </c>
      <c r="L9" s="1" t="s">
        <v>63</v>
      </c>
    </row>
    <row r="10" spans="1:12" ht="57.75" customHeight="1" x14ac:dyDescent="0.3">
      <c r="A10" s="1" t="s">
        <v>64</v>
      </c>
      <c r="B10" s="1" t="s">
        <v>56</v>
      </c>
      <c r="C10" s="1" t="s">
        <v>25</v>
      </c>
      <c r="D10" s="2" t="s">
        <v>65</v>
      </c>
      <c r="E10" s="2" t="s">
        <v>66</v>
      </c>
      <c r="F10" s="2" t="s">
        <v>67</v>
      </c>
      <c r="G10" s="2" t="s">
        <v>60</v>
      </c>
      <c r="H10" s="2" t="s">
        <v>68</v>
      </c>
      <c r="I10" s="2" t="s">
        <v>69</v>
      </c>
      <c r="J10" s="1" t="s">
        <v>21</v>
      </c>
      <c r="K10" s="1" t="s">
        <v>22</v>
      </c>
      <c r="L10" s="1" t="s">
        <v>63</v>
      </c>
    </row>
    <row r="11" spans="1:12" ht="57.75" customHeight="1" x14ac:dyDescent="0.3">
      <c r="A11" s="1" t="s">
        <v>70</v>
      </c>
      <c r="B11" s="1" t="s">
        <v>71</v>
      </c>
      <c r="C11" s="1" t="s">
        <v>14</v>
      </c>
      <c r="D11" s="2" t="s">
        <v>72</v>
      </c>
      <c r="E11" s="2" t="s">
        <v>73</v>
      </c>
      <c r="F11" s="2" t="s">
        <v>74</v>
      </c>
      <c r="G11" s="2" t="s">
        <v>75</v>
      </c>
      <c r="H11" s="2" t="s">
        <v>76</v>
      </c>
      <c r="I11" s="2" t="s">
        <v>77</v>
      </c>
      <c r="J11" s="1" t="s">
        <v>21</v>
      </c>
      <c r="K11" s="1" t="s">
        <v>22</v>
      </c>
      <c r="L11" s="1" t="s">
        <v>63</v>
      </c>
    </row>
    <row r="12" spans="1:12" ht="57.75" customHeight="1" x14ac:dyDescent="0.3">
      <c r="A12" s="1" t="s">
        <v>78</v>
      </c>
      <c r="B12" s="1" t="s">
        <v>79</v>
      </c>
      <c r="C12" s="1" t="s">
        <v>25</v>
      </c>
      <c r="D12" s="2" t="s">
        <v>80</v>
      </c>
      <c r="E12" s="2" t="s">
        <v>81</v>
      </c>
      <c r="F12" s="2" t="s">
        <v>82</v>
      </c>
      <c r="G12" s="2" t="s">
        <v>83</v>
      </c>
      <c r="H12" s="2" t="s">
        <v>84</v>
      </c>
      <c r="I12" s="2" t="s">
        <v>85</v>
      </c>
      <c r="J12" s="1" t="s">
        <v>39</v>
      </c>
      <c r="K12" s="1" t="s">
        <v>22</v>
      </c>
      <c r="L12" s="1" t="s">
        <v>63</v>
      </c>
    </row>
    <row r="13" spans="1:12" ht="57.75" customHeight="1" x14ac:dyDescent="0.3">
      <c r="A13" s="1" t="s">
        <v>86</v>
      </c>
      <c r="B13" s="1" t="s">
        <v>87</v>
      </c>
      <c r="C13" s="1" t="s">
        <v>14</v>
      </c>
      <c r="D13" s="2" t="s">
        <v>88</v>
      </c>
      <c r="E13" s="2" t="s">
        <v>89</v>
      </c>
      <c r="F13" s="2" t="s">
        <v>90</v>
      </c>
      <c r="G13" s="2" t="s">
        <v>91</v>
      </c>
      <c r="H13" s="2" t="s">
        <v>92</v>
      </c>
      <c r="I13" s="2" t="s">
        <v>93</v>
      </c>
      <c r="J13" s="1" t="s">
        <v>21</v>
      </c>
      <c r="K13" s="1" t="s">
        <v>22</v>
      </c>
      <c r="L13" s="1" t="s">
        <v>63</v>
      </c>
    </row>
    <row r="14" spans="1:12" ht="6" customHeight="1" x14ac:dyDescent="0.3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</row>
  </sheetData>
  <mergeCells count="3">
    <mergeCell ref="A1:L1"/>
    <mergeCell ref="A2:L2"/>
    <mergeCell ref="A14:L14"/>
  </mergeCells>
  <conditionalFormatting sqref="J4:J13">
    <cfRule type="cellIs" dxfId="11" priority="2" operator="equal">
      <formula>"Pass"</formula>
    </cfRule>
    <cfRule type="cellIs" dxfId="10" priority="3" operator="equal">
      <formula>"Fail"</formula>
    </cfRule>
    <cfRule type="cellIs" dxfId="9" priority="4" operator="equal">
      <formula>"Fail (Minor)"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zoomScaleNormal="100" workbookViewId="0">
      <pane ySplit="3" topLeftCell="A4" activePane="bottomLeft" state="frozen"/>
      <selection pane="bottomLeft" sqref="A1:L1"/>
    </sheetView>
  </sheetViews>
  <sheetFormatPr defaultColWidth="8.6640625" defaultRowHeight="14.4" x14ac:dyDescent="0.3"/>
  <cols>
    <col min="1" max="1" width="11" customWidth="1"/>
    <col min="2" max="2" width="14" customWidth="1"/>
    <col min="3" max="3" width="12" customWidth="1"/>
    <col min="4" max="4" width="26" customWidth="1"/>
    <col min="5" max="5" width="24" customWidth="1"/>
    <col min="6" max="6" width="22" customWidth="1"/>
    <col min="7" max="7" width="26" customWidth="1"/>
    <col min="8" max="9" width="28" customWidth="1"/>
    <col min="10" max="10" width="12" customWidth="1"/>
    <col min="11" max="11" width="16" customWidth="1"/>
    <col min="12" max="12" width="14" customWidth="1"/>
  </cols>
  <sheetData>
    <row r="1" spans="1:12" ht="19.5" customHeight="1" x14ac:dyDescent="0.3">
      <c r="A1" s="16" t="s">
        <v>303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6" customHeight="1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9" customFormat="1" ht="27.75" customHeight="1" x14ac:dyDescent="0.3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</row>
    <row r="4" spans="1:12" ht="57.75" customHeight="1" x14ac:dyDescent="0.3">
      <c r="A4" s="1" t="s">
        <v>94</v>
      </c>
      <c r="B4" s="1" t="s">
        <v>95</v>
      </c>
      <c r="C4" s="1" t="s">
        <v>14</v>
      </c>
      <c r="D4" s="2" t="s">
        <v>96</v>
      </c>
      <c r="E4" s="2" t="s">
        <v>97</v>
      </c>
      <c r="F4" s="2" t="s">
        <v>98</v>
      </c>
      <c r="G4" s="2" t="s">
        <v>99</v>
      </c>
      <c r="H4" s="2" t="s">
        <v>100</v>
      </c>
      <c r="I4" s="2" t="s">
        <v>101</v>
      </c>
      <c r="J4" s="1" t="s">
        <v>21</v>
      </c>
      <c r="K4" s="1" t="s">
        <v>102</v>
      </c>
      <c r="L4" s="1" t="s">
        <v>103</v>
      </c>
    </row>
    <row r="5" spans="1:12" ht="57.75" customHeight="1" x14ac:dyDescent="0.3">
      <c r="A5" s="1" t="s">
        <v>104</v>
      </c>
      <c r="B5" s="1" t="s">
        <v>105</v>
      </c>
      <c r="C5" s="1" t="s">
        <v>14</v>
      </c>
      <c r="D5" s="2" t="s">
        <v>106</v>
      </c>
      <c r="E5" s="2" t="s">
        <v>107</v>
      </c>
      <c r="F5" s="2" t="s">
        <v>108</v>
      </c>
      <c r="G5" s="2" t="s">
        <v>109</v>
      </c>
      <c r="H5" s="2" t="s">
        <v>110</v>
      </c>
      <c r="I5" s="2" t="s">
        <v>111</v>
      </c>
      <c r="J5" s="1" t="s">
        <v>21</v>
      </c>
      <c r="K5" s="1" t="s">
        <v>102</v>
      </c>
      <c r="L5" s="1" t="s">
        <v>103</v>
      </c>
    </row>
    <row r="6" spans="1:12" ht="57.75" customHeight="1" x14ac:dyDescent="0.3">
      <c r="A6" s="1" t="s">
        <v>112</v>
      </c>
      <c r="B6" s="1" t="s">
        <v>71</v>
      </c>
      <c r="C6" s="1" t="s">
        <v>25</v>
      </c>
      <c r="D6" s="2" t="s">
        <v>113</v>
      </c>
      <c r="E6" s="2" t="s">
        <v>114</v>
      </c>
      <c r="F6" s="2" t="s">
        <v>115</v>
      </c>
      <c r="G6" s="2" t="s">
        <v>116</v>
      </c>
      <c r="H6" s="2" t="s">
        <v>117</v>
      </c>
      <c r="I6" s="2" t="s">
        <v>118</v>
      </c>
      <c r="J6" s="1" t="s">
        <v>21</v>
      </c>
      <c r="K6" s="1" t="s">
        <v>102</v>
      </c>
      <c r="L6" s="1" t="s">
        <v>103</v>
      </c>
    </row>
    <row r="7" spans="1:12" ht="57.75" customHeight="1" x14ac:dyDescent="0.3">
      <c r="A7" s="1" t="s">
        <v>119</v>
      </c>
      <c r="B7" s="1" t="s">
        <v>120</v>
      </c>
      <c r="C7" s="1" t="s">
        <v>25</v>
      </c>
      <c r="D7" s="2" t="s">
        <v>121</v>
      </c>
      <c r="E7" s="2" t="s">
        <v>122</v>
      </c>
      <c r="F7" s="2" t="s">
        <v>123</v>
      </c>
      <c r="G7" s="2" t="s">
        <v>124</v>
      </c>
      <c r="H7" s="2" t="s">
        <v>125</v>
      </c>
      <c r="I7" s="2" t="s">
        <v>126</v>
      </c>
      <c r="J7" s="1" t="s">
        <v>39</v>
      </c>
      <c r="K7" s="1" t="s">
        <v>102</v>
      </c>
      <c r="L7" s="1" t="s">
        <v>103</v>
      </c>
    </row>
    <row r="8" spans="1:12" ht="57.75" customHeight="1" x14ac:dyDescent="0.3">
      <c r="A8" s="1" t="s">
        <v>127</v>
      </c>
      <c r="B8" s="1" t="s">
        <v>120</v>
      </c>
      <c r="C8" s="1" t="s">
        <v>14</v>
      </c>
      <c r="D8" s="2" t="s">
        <v>128</v>
      </c>
      <c r="E8" s="2" t="s">
        <v>129</v>
      </c>
      <c r="F8" s="2" t="s">
        <v>130</v>
      </c>
      <c r="G8" s="2" t="s">
        <v>131</v>
      </c>
      <c r="H8" s="2" t="s">
        <v>132</v>
      </c>
      <c r="I8" s="2" t="s">
        <v>133</v>
      </c>
      <c r="J8" s="1" t="s">
        <v>21</v>
      </c>
      <c r="K8" s="1" t="s">
        <v>102</v>
      </c>
      <c r="L8" s="1" t="s">
        <v>103</v>
      </c>
    </row>
    <row r="9" spans="1:12" ht="57.75" customHeight="1" x14ac:dyDescent="0.3">
      <c r="A9" s="1" t="s">
        <v>134</v>
      </c>
      <c r="B9" s="1" t="s">
        <v>135</v>
      </c>
      <c r="C9" s="1" t="s">
        <v>14</v>
      </c>
      <c r="D9" s="2" t="s">
        <v>136</v>
      </c>
      <c r="E9" s="2" t="s">
        <v>137</v>
      </c>
      <c r="F9" s="2" t="s">
        <v>138</v>
      </c>
      <c r="G9" s="2" t="s">
        <v>139</v>
      </c>
      <c r="H9" s="2" t="s">
        <v>140</v>
      </c>
      <c r="I9" s="2" t="s">
        <v>141</v>
      </c>
      <c r="J9" s="1" t="s">
        <v>21</v>
      </c>
      <c r="K9" s="1" t="s">
        <v>102</v>
      </c>
      <c r="L9" s="1" t="s">
        <v>142</v>
      </c>
    </row>
    <row r="10" spans="1:12" ht="57.75" customHeight="1" x14ac:dyDescent="0.3">
      <c r="A10" s="1" t="s">
        <v>143</v>
      </c>
      <c r="B10" s="1" t="s">
        <v>144</v>
      </c>
      <c r="C10" s="1" t="s">
        <v>25</v>
      </c>
      <c r="D10" s="2" t="s">
        <v>145</v>
      </c>
      <c r="E10" s="2" t="s">
        <v>146</v>
      </c>
      <c r="F10" s="2" t="s">
        <v>147</v>
      </c>
      <c r="G10" s="2" t="s">
        <v>148</v>
      </c>
      <c r="H10" s="2" t="s">
        <v>149</v>
      </c>
      <c r="I10" s="2" t="s">
        <v>150</v>
      </c>
      <c r="J10" s="1" t="s">
        <v>21</v>
      </c>
      <c r="K10" s="1" t="s">
        <v>102</v>
      </c>
      <c r="L10" s="1" t="s">
        <v>142</v>
      </c>
    </row>
    <row r="11" spans="1:12" ht="57.75" customHeight="1" x14ac:dyDescent="0.3">
      <c r="A11" s="1" t="s">
        <v>151</v>
      </c>
      <c r="B11" s="1" t="s">
        <v>152</v>
      </c>
      <c r="C11" s="1" t="s">
        <v>14</v>
      </c>
      <c r="D11" s="2" t="s">
        <v>153</v>
      </c>
      <c r="E11" s="2" t="s">
        <v>154</v>
      </c>
      <c r="F11" s="2" t="s">
        <v>155</v>
      </c>
      <c r="G11" s="2" t="s">
        <v>156</v>
      </c>
      <c r="H11" s="2" t="s">
        <v>157</v>
      </c>
      <c r="I11" s="2" t="s">
        <v>158</v>
      </c>
      <c r="J11" s="1" t="s">
        <v>21</v>
      </c>
      <c r="K11" s="1" t="s">
        <v>102</v>
      </c>
      <c r="L11" s="1" t="s">
        <v>142</v>
      </c>
    </row>
    <row r="12" spans="1:12" ht="6" customHeight="1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</sheetData>
  <mergeCells count="3">
    <mergeCell ref="A1:L1"/>
    <mergeCell ref="A2:L2"/>
    <mergeCell ref="A12:L12"/>
  </mergeCells>
  <conditionalFormatting sqref="J4:J11">
    <cfRule type="cellIs" dxfId="8" priority="2" operator="equal">
      <formula>"Pass"</formula>
    </cfRule>
    <cfRule type="cellIs" dxfId="7" priority="3" operator="equal">
      <formula>"Fail"</formula>
    </cfRule>
    <cfRule type="cellIs" dxfId="6" priority="4" operator="equal">
      <formula>"Fail (Minor)"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zoomScaleNormal="100" workbookViewId="0">
      <pane ySplit="3" topLeftCell="A4" activePane="bottomLeft" state="frozen"/>
      <selection pane="bottomLeft" sqref="A1:L1"/>
    </sheetView>
  </sheetViews>
  <sheetFormatPr defaultColWidth="8.6640625" defaultRowHeight="14.4" x14ac:dyDescent="0.3"/>
  <cols>
    <col min="1" max="1" width="11" customWidth="1"/>
    <col min="2" max="2" width="14" customWidth="1"/>
    <col min="3" max="3" width="12" customWidth="1"/>
    <col min="4" max="4" width="26" customWidth="1"/>
    <col min="5" max="5" width="24" customWidth="1"/>
    <col min="6" max="6" width="22" customWidth="1"/>
    <col min="7" max="7" width="26" customWidth="1"/>
    <col min="8" max="9" width="28" customWidth="1"/>
    <col min="10" max="10" width="12" customWidth="1"/>
    <col min="11" max="11" width="16" customWidth="1"/>
    <col min="12" max="12" width="14" customWidth="1"/>
  </cols>
  <sheetData>
    <row r="1" spans="1:13" ht="19.5" customHeight="1" x14ac:dyDescent="0.3">
      <c r="A1" s="16" t="s">
        <v>302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t="s">
        <v>301</v>
      </c>
    </row>
    <row r="2" spans="1:13" ht="6" customHeight="1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3" s="9" customFormat="1" ht="27.75" customHeight="1" x14ac:dyDescent="0.3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</row>
    <row r="4" spans="1:13" ht="57.75" customHeight="1" x14ac:dyDescent="0.3">
      <c r="A4" s="1" t="s">
        <v>159</v>
      </c>
      <c r="B4" s="1" t="s">
        <v>160</v>
      </c>
      <c r="C4" s="1" t="s">
        <v>14</v>
      </c>
      <c r="D4" s="2" t="s">
        <v>161</v>
      </c>
      <c r="E4" s="2" t="s">
        <v>162</v>
      </c>
      <c r="F4" s="2" t="s">
        <v>163</v>
      </c>
      <c r="G4" s="2" t="s">
        <v>164</v>
      </c>
      <c r="H4" s="2" t="s">
        <v>165</v>
      </c>
      <c r="I4" s="2" t="s">
        <v>166</v>
      </c>
      <c r="J4" s="1" t="s">
        <v>21</v>
      </c>
      <c r="K4" s="1" t="s">
        <v>167</v>
      </c>
      <c r="L4" s="1" t="s">
        <v>142</v>
      </c>
    </row>
    <row r="5" spans="1:13" ht="57.75" customHeight="1" x14ac:dyDescent="0.3">
      <c r="A5" s="1" t="s">
        <v>168</v>
      </c>
      <c r="B5" s="1" t="s">
        <v>169</v>
      </c>
      <c r="C5" s="1" t="s">
        <v>14</v>
      </c>
      <c r="D5" s="2" t="s">
        <v>170</v>
      </c>
      <c r="E5" s="2" t="s">
        <v>171</v>
      </c>
      <c r="F5" s="2" t="s">
        <v>172</v>
      </c>
      <c r="G5" s="2" t="s">
        <v>173</v>
      </c>
      <c r="H5" s="2" t="s">
        <v>174</v>
      </c>
      <c r="I5" s="2" t="s">
        <v>175</v>
      </c>
      <c r="J5" s="1" t="s">
        <v>21</v>
      </c>
      <c r="K5" s="1" t="s">
        <v>167</v>
      </c>
      <c r="L5" s="1" t="s">
        <v>142</v>
      </c>
    </row>
    <row r="6" spans="1:13" ht="57.75" customHeight="1" x14ac:dyDescent="0.3">
      <c r="A6" s="1" t="s">
        <v>176</v>
      </c>
      <c r="B6" s="1" t="s">
        <v>152</v>
      </c>
      <c r="C6" s="1" t="s">
        <v>25</v>
      </c>
      <c r="D6" s="2" t="s">
        <v>177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1" t="s">
        <v>21</v>
      </c>
      <c r="K6" s="1" t="s">
        <v>167</v>
      </c>
      <c r="L6" s="1" t="s">
        <v>183</v>
      </c>
    </row>
    <row r="7" spans="1:13" ht="57.75" customHeight="1" x14ac:dyDescent="0.3">
      <c r="A7" s="1" t="s">
        <v>184</v>
      </c>
      <c r="B7" s="1" t="s">
        <v>71</v>
      </c>
      <c r="C7" s="1" t="s">
        <v>14</v>
      </c>
      <c r="D7" s="2" t="s">
        <v>185</v>
      </c>
      <c r="E7" s="2" t="s">
        <v>186</v>
      </c>
      <c r="F7" s="2" t="s">
        <v>187</v>
      </c>
      <c r="G7" s="2" t="s">
        <v>188</v>
      </c>
      <c r="H7" s="2" t="s">
        <v>189</v>
      </c>
      <c r="I7" s="2" t="s">
        <v>190</v>
      </c>
      <c r="J7" s="1" t="s">
        <v>21</v>
      </c>
      <c r="K7" s="1" t="s">
        <v>167</v>
      </c>
      <c r="L7" s="1" t="s">
        <v>183</v>
      </c>
    </row>
    <row r="8" spans="1:13" ht="57.75" customHeight="1" x14ac:dyDescent="0.3">
      <c r="A8" s="1" t="s">
        <v>191</v>
      </c>
      <c r="B8" s="1" t="s">
        <v>192</v>
      </c>
      <c r="C8" s="1" t="s">
        <v>14</v>
      </c>
      <c r="D8" s="2" t="s">
        <v>193</v>
      </c>
      <c r="E8" s="2" t="s">
        <v>194</v>
      </c>
      <c r="F8" s="2" t="s">
        <v>195</v>
      </c>
      <c r="G8" s="2" t="s">
        <v>196</v>
      </c>
      <c r="H8" s="2" t="s">
        <v>197</v>
      </c>
      <c r="I8" s="2" t="s">
        <v>198</v>
      </c>
      <c r="J8" s="1" t="s">
        <v>21</v>
      </c>
      <c r="K8" s="1" t="s">
        <v>167</v>
      </c>
      <c r="L8" s="1" t="s">
        <v>183</v>
      </c>
    </row>
    <row r="9" spans="1:13" ht="57.75" customHeight="1" x14ac:dyDescent="0.3">
      <c r="A9" s="1" t="s">
        <v>199</v>
      </c>
      <c r="B9" s="1" t="s">
        <v>200</v>
      </c>
      <c r="C9" s="1" t="s">
        <v>25</v>
      </c>
      <c r="D9" s="2" t="s">
        <v>201</v>
      </c>
      <c r="E9" s="2" t="s">
        <v>202</v>
      </c>
      <c r="F9" s="2" t="s">
        <v>203</v>
      </c>
      <c r="G9" s="2" t="s">
        <v>204</v>
      </c>
      <c r="H9" s="2" t="s">
        <v>205</v>
      </c>
      <c r="I9" s="2" t="s">
        <v>206</v>
      </c>
      <c r="J9" s="1" t="s">
        <v>39</v>
      </c>
      <c r="K9" s="1" t="s">
        <v>167</v>
      </c>
      <c r="L9" s="1" t="s">
        <v>183</v>
      </c>
    </row>
    <row r="10" spans="1:13" ht="57.75" customHeight="1" x14ac:dyDescent="0.3">
      <c r="A10" s="1" t="s">
        <v>207</v>
      </c>
      <c r="B10" s="1" t="s">
        <v>208</v>
      </c>
      <c r="C10" s="1" t="s">
        <v>14</v>
      </c>
      <c r="D10" s="2" t="s">
        <v>209</v>
      </c>
      <c r="E10" s="2" t="s">
        <v>210</v>
      </c>
      <c r="F10" s="2" t="s">
        <v>211</v>
      </c>
      <c r="G10" s="2" t="s">
        <v>212</v>
      </c>
      <c r="H10" s="2" t="s">
        <v>213</v>
      </c>
      <c r="I10" s="2" t="s">
        <v>214</v>
      </c>
      <c r="J10" s="1" t="s">
        <v>21</v>
      </c>
      <c r="K10" s="1" t="s">
        <v>167</v>
      </c>
      <c r="L10" s="1" t="s">
        <v>183</v>
      </c>
    </row>
    <row r="11" spans="1:13" ht="57.75" customHeight="1" x14ac:dyDescent="0.3">
      <c r="A11" s="1" t="s">
        <v>215</v>
      </c>
      <c r="B11" s="1" t="s">
        <v>216</v>
      </c>
      <c r="C11" s="1" t="s">
        <v>14</v>
      </c>
      <c r="D11" s="2" t="s">
        <v>217</v>
      </c>
      <c r="E11" s="2" t="s">
        <v>218</v>
      </c>
      <c r="F11" s="2" t="s">
        <v>219</v>
      </c>
      <c r="G11" s="2" t="s">
        <v>220</v>
      </c>
      <c r="H11" s="2" t="s">
        <v>221</v>
      </c>
      <c r="I11" s="2" t="s">
        <v>222</v>
      </c>
      <c r="J11" s="1" t="s">
        <v>21</v>
      </c>
      <c r="K11" s="1" t="s">
        <v>167</v>
      </c>
      <c r="L11" s="1" t="s">
        <v>183</v>
      </c>
    </row>
    <row r="12" spans="1:13" ht="6" customHeight="1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</sheetData>
  <mergeCells count="3">
    <mergeCell ref="A1:L1"/>
    <mergeCell ref="A2:L2"/>
    <mergeCell ref="A12:L12"/>
  </mergeCells>
  <conditionalFormatting sqref="J4:J11">
    <cfRule type="cellIs" dxfId="5" priority="2" operator="equal">
      <formula>"Pass"</formula>
    </cfRule>
    <cfRule type="cellIs" dxfId="4" priority="3" operator="equal">
      <formula>"Fail"</formula>
    </cfRule>
    <cfRule type="cellIs" dxfId="3" priority="4" operator="equal">
      <formula>"Fail (Minor)"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"/>
  <sheetViews>
    <sheetView zoomScaleNormal="100" workbookViewId="0">
      <pane ySplit="3" topLeftCell="A4" activePane="bottomLeft" state="frozen"/>
      <selection pane="bottomLeft" sqref="A1:L1"/>
    </sheetView>
  </sheetViews>
  <sheetFormatPr defaultColWidth="8.6640625" defaultRowHeight="14.4" x14ac:dyDescent="0.3"/>
  <cols>
    <col min="1" max="1" width="11" customWidth="1"/>
    <col min="2" max="2" width="14" customWidth="1"/>
    <col min="3" max="3" width="12" customWidth="1"/>
    <col min="4" max="4" width="26" customWidth="1"/>
    <col min="5" max="5" width="24" customWidth="1"/>
    <col min="6" max="6" width="22" customWidth="1"/>
    <col min="7" max="7" width="26" customWidth="1"/>
    <col min="8" max="9" width="28" customWidth="1"/>
    <col min="10" max="10" width="12" customWidth="1"/>
    <col min="11" max="11" width="16" customWidth="1"/>
    <col min="12" max="12" width="14" customWidth="1"/>
  </cols>
  <sheetData>
    <row r="1" spans="1:12" ht="19.5" customHeight="1" x14ac:dyDescent="0.3">
      <c r="A1" s="16" t="s">
        <v>300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6" customHeight="1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9" customFormat="1" ht="27.75" customHeight="1" x14ac:dyDescent="0.3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</row>
    <row r="4" spans="1:12" ht="57.75" customHeight="1" x14ac:dyDescent="0.3">
      <c r="A4" s="1" t="s">
        <v>223</v>
      </c>
      <c r="B4" s="1" t="s">
        <v>13</v>
      </c>
      <c r="C4" s="1" t="s">
        <v>14</v>
      </c>
      <c r="D4" s="2" t="s">
        <v>224</v>
      </c>
      <c r="E4" s="2" t="s">
        <v>225</v>
      </c>
      <c r="F4" s="2" t="s">
        <v>226</v>
      </c>
      <c r="G4" s="2" t="s">
        <v>227</v>
      </c>
      <c r="H4" s="2" t="s">
        <v>228</v>
      </c>
      <c r="I4" s="2" t="s">
        <v>229</v>
      </c>
      <c r="J4" s="1" t="s">
        <v>21</v>
      </c>
      <c r="K4" s="1" t="s">
        <v>230</v>
      </c>
      <c r="L4" s="1" t="s">
        <v>231</v>
      </c>
    </row>
    <row r="5" spans="1:12" ht="57.75" customHeight="1" x14ac:dyDescent="0.3">
      <c r="A5" s="1" t="s">
        <v>232</v>
      </c>
      <c r="B5" s="1" t="s">
        <v>120</v>
      </c>
      <c r="C5" s="1" t="s">
        <v>14</v>
      </c>
      <c r="D5" s="2" t="s">
        <v>233</v>
      </c>
      <c r="E5" s="2" t="s">
        <v>234</v>
      </c>
      <c r="F5" s="2" t="s">
        <v>235</v>
      </c>
      <c r="G5" s="2" t="s">
        <v>236</v>
      </c>
      <c r="H5" s="2" t="s">
        <v>237</v>
      </c>
      <c r="I5" s="2" t="s">
        <v>238</v>
      </c>
      <c r="J5" s="1" t="s">
        <v>21</v>
      </c>
      <c r="K5" s="12" t="s">
        <v>295</v>
      </c>
      <c r="L5" s="1" t="s">
        <v>231</v>
      </c>
    </row>
    <row r="6" spans="1:12" ht="57.75" customHeight="1" x14ac:dyDescent="0.3">
      <c r="A6" s="1" t="s">
        <v>239</v>
      </c>
      <c r="B6" s="1" t="s">
        <v>240</v>
      </c>
      <c r="C6" s="1" t="s">
        <v>14</v>
      </c>
      <c r="D6" s="2" t="s">
        <v>241</v>
      </c>
      <c r="E6" s="2" t="s">
        <v>242</v>
      </c>
      <c r="F6" s="2" t="s">
        <v>243</v>
      </c>
      <c r="G6" s="2" t="s">
        <v>244</v>
      </c>
      <c r="H6" s="2" t="s">
        <v>245</v>
      </c>
      <c r="I6" s="2" t="s">
        <v>246</v>
      </c>
      <c r="J6" s="1" t="s">
        <v>21</v>
      </c>
      <c r="K6" s="12" t="s">
        <v>295</v>
      </c>
      <c r="L6" s="1" t="s">
        <v>231</v>
      </c>
    </row>
    <row r="7" spans="1:12" ht="57.75" customHeight="1" x14ac:dyDescent="0.3">
      <c r="A7" s="1" t="s">
        <v>247</v>
      </c>
      <c r="B7" s="1" t="s">
        <v>87</v>
      </c>
      <c r="C7" s="1" t="s">
        <v>14</v>
      </c>
      <c r="D7" s="2" t="s">
        <v>248</v>
      </c>
      <c r="E7" s="2" t="s">
        <v>249</v>
      </c>
      <c r="F7" s="2" t="s">
        <v>250</v>
      </c>
      <c r="G7" s="2" t="s">
        <v>251</v>
      </c>
      <c r="H7" s="2" t="s">
        <v>252</v>
      </c>
      <c r="I7" s="2" t="s">
        <v>253</v>
      </c>
      <c r="J7" s="1" t="s">
        <v>21</v>
      </c>
      <c r="K7" s="1" t="s">
        <v>254</v>
      </c>
      <c r="L7" s="1" t="s">
        <v>231</v>
      </c>
    </row>
    <row r="8" spans="1:12" ht="57.75" customHeight="1" x14ac:dyDescent="0.3">
      <c r="A8" s="1" t="s">
        <v>255</v>
      </c>
      <c r="B8" s="1" t="s">
        <v>256</v>
      </c>
      <c r="C8" s="1" t="s">
        <v>14</v>
      </c>
      <c r="D8" s="2" t="s">
        <v>257</v>
      </c>
      <c r="E8" s="2" t="s">
        <v>258</v>
      </c>
      <c r="F8" s="2" t="s">
        <v>259</v>
      </c>
      <c r="G8" s="2" t="s">
        <v>260</v>
      </c>
      <c r="H8" s="2" t="s">
        <v>261</v>
      </c>
      <c r="I8" s="2" t="s">
        <v>262</v>
      </c>
      <c r="J8" s="1" t="s">
        <v>21</v>
      </c>
      <c r="K8" s="1" t="s">
        <v>254</v>
      </c>
      <c r="L8" s="1" t="s">
        <v>231</v>
      </c>
    </row>
    <row r="9" spans="1:12" ht="57.75" customHeight="1" x14ac:dyDescent="0.3">
      <c r="A9" s="1" t="s">
        <v>263</v>
      </c>
      <c r="B9" s="1" t="s">
        <v>135</v>
      </c>
      <c r="C9" s="1" t="s">
        <v>14</v>
      </c>
      <c r="D9" s="2" t="s">
        <v>264</v>
      </c>
      <c r="E9" s="2" t="s">
        <v>265</v>
      </c>
      <c r="F9" s="2" t="s">
        <v>266</v>
      </c>
      <c r="G9" s="2" t="s">
        <v>267</v>
      </c>
      <c r="H9" s="2" t="s">
        <v>268</v>
      </c>
      <c r="I9" s="2" t="s">
        <v>269</v>
      </c>
      <c r="J9" s="1" t="s">
        <v>21</v>
      </c>
      <c r="K9" s="1" t="s">
        <v>230</v>
      </c>
      <c r="L9" s="1" t="s">
        <v>231</v>
      </c>
    </row>
    <row r="10" spans="1:12" ht="57.75" customHeight="1" x14ac:dyDescent="0.3">
      <c r="A10" s="1" t="s">
        <v>270</v>
      </c>
      <c r="B10" s="1" t="s">
        <v>79</v>
      </c>
      <c r="C10" s="1" t="s">
        <v>25</v>
      </c>
      <c r="D10" s="2" t="s">
        <v>271</v>
      </c>
      <c r="E10" s="2" t="s">
        <v>272</v>
      </c>
      <c r="F10" s="2" t="s">
        <v>273</v>
      </c>
      <c r="G10" s="2" t="s">
        <v>274</v>
      </c>
      <c r="H10" s="2" t="s">
        <v>275</v>
      </c>
      <c r="I10" s="2" t="s">
        <v>276</v>
      </c>
      <c r="J10" s="1" t="s">
        <v>277</v>
      </c>
      <c r="K10" s="1" t="s">
        <v>230</v>
      </c>
      <c r="L10" s="1" t="s">
        <v>231</v>
      </c>
    </row>
    <row r="11" spans="1:12" ht="57.75" customHeight="1" x14ac:dyDescent="0.3">
      <c r="A11" s="1" t="s">
        <v>278</v>
      </c>
      <c r="B11" s="1" t="s">
        <v>279</v>
      </c>
      <c r="C11" s="1" t="s">
        <v>25</v>
      </c>
      <c r="D11" s="2" t="s">
        <v>280</v>
      </c>
      <c r="E11" s="2" t="s">
        <v>281</v>
      </c>
      <c r="F11" s="2" t="s">
        <v>282</v>
      </c>
      <c r="G11" s="2" t="s">
        <v>283</v>
      </c>
      <c r="H11" s="2" t="s">
        <v>284</v>
      </c>
      <c r="I11" s="2" t="s">
        <v>285</v>
      </c>
      <c r="J11" s="1" t="s">
        <v>21</v>
      </c>
      <c r="K11" s="1" t="s">
        <v>254</v>
      </c>
      <c r="L11" s="1" t="s">
        <v>231</v>
      </c>
    </row>
    <row r="12" spans="1:12" ht="6" customHeight="1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</sheetData>
  <mergeCells count="3">
    <mergeCell ref="A1:L1"/>
    <mergeCell ref="A2:L2"/>
    <mergeCell ref="A12:L12"/>
  </mergeCells>
  <conditionalFormatting sqref="J4:J11">
    <cfRule type="cellIs" dxfId="2" priority="2" operator="equal">
      <formula>"Pass"</formula>
    </cfRule>
    <cfRule type="cellIs" dxfId="1" priority="3" operator="equal">
      <formula>"Fail"</formula>
    </cfRule>
    <cfRule type="cellIs" dxfId="0" priority="4" operator="equal">
      <formula>"Fail (Minor)"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4"/>
  <sheetViews>
    <sheetView zoomScaleNormal="100" workbookViewId="0">
      <selection sqref="A1:E1"/>
    </sheetView>
  </sheetViews>
  <sheetFormatPr defaultColWidth="8.6640625" defaultRowHeight="14.4" x14ac:dyDescent="0.3"/>
  <cols>
    <col min="1" max="1" width="16" customWidth="1"/>
    <col min="2" max="4" width="9" customWidth="1"/>
    <col min="5" max="5" width="11" customWidth="1"/>
  </cols>
  <sheetData>
    <row r="1" spans="1:5" ht="24" customHeight="1" x14ac:dyDescent="0.3">
      <c r="A1" s="18" t="s">
        <v>299</v>
      </c>
      <c r="B1" s="18"/>
      <c r="C1" s="18"/>
      <c r="D1" s="18"/>
      <c r="E1" s="18"/>
    </row>
    <row r="3" spans="1:5" ht="15" customHeight="1" x14ac:dyDescent="0.3">
      <c r="A3" s="3" t="s">
        <v>286</v>
      </c>
    </row>
    <row r="4" spans="1:5" s="13" customFormat="1" ht="15" customHeight="1" x14ac:dyDescent="0.3">
      <c r="A4" s="10" t="s">
        <v>287</v>
      </c>
      <c r="B4" s="10" t="s">
        <v>288</v>
      </c>
      <c r="C4" s="10" t="s">
        <v>21</v>
      </c>
      <c r="D4" s="10" t="s">
        <v>39</v>
      </c>
      <c r="E4" s="10" t="s">
        <v>289</v>
      </c>
    </row>
    <row r="5" spans="1:5" ht="15" customHeight="1" x14ac:dyDescent="0.3">
      <c r="A5" s="4" t="s">
        <v>290</v>
      </c>
      <c r="B5" s="4">
        <f>COUNTA('Unit Testing'!A4:A13)</f>
        <v>10</v>
      </c>
      <c r="C5" s="4">
        <f>COUNTIF('Unit Testing'!J4:J13,"Pass")</f>
        <v>8</v>
      </c>
      <c r="D5" s="4">
        <f>B5-C5</f>
        <v>2</v>
      </c>
      <c r="E5" s="5">
        <f>IF(B5=0,0,C5/B5)</f>
        <v>0.8</v>
      </c>
    </row>
    <row r="6" spans="1:5" ht="15" customHeight="1" x14ac:dyDescent="0.3">
      <c r="A6" s="4" t="s">
        <v>291</v>
      </c>
      <c r="B6" s="4">
        <f>COUNTA('Integration Testing'!A4:A11)</f>
        <v>8</v>
      </c>
      <c r="C6" s="4">
        <f>COUNTIF('Integration Testing'!J4:J11,"Pass")</f>
        <v>7</v>
      </c>
      <c r="D6" s="4">
        <f>B6-C6</f>
        <v>1</v>
      </c>
      <c r="E6" s="5">
        <f>IF(B6=0,0,C6/B6)</f>
        <v>0.875</v>
      </c>
    </row>
    <row r="7" spans="1:5" ht="15" customHeight="1" x14ac:dyDescent="0.3">
      <c r="A7" s="4" t="s">
        <v>292</v>
      </c>
      <c r="B7" s="4">
        <f>COUNTA('System Testing'!A4:A11)</f>
        <v>8</v>
      </c>
      <c r="C7" s="4">
        <f>COUNTIF('System Testing'!J4:J11,"Pass")</f>
        <v>7</v>
      </c>
      <c r="D7" s="4">
        <f>B7-C7</f>
        <v>1</v>
      </c>
      <c r="E7" s="5">
        <f>IF(B7=0,0,C7/B7)</f>
        <v>0.875</v>
      </c>
    </row>
    <row r="8" spans="1:5" ht="15" customHeight="1" x14ac:dyDescent="0.3">
      <c r="A8" s="4" t="s">
        <v>293</v>
      </c>
      <c r="B8" s="4">
        <f>COUNTA('User Acceptance Testing'!A4:A11)</f>
        <v>8</v>
      </c>
      <c r="C8" s="4">
        <f>COUNTIF('User Acceptance Testing'!J4:J11,"Pass")</f>
        <v>7</v>
      </c>
      <c r="D8" s="4">
        <f>B8-C8</f>
        <v>1</v>
      </c>
      <c r="E8" s="5">
        <f>IF(B8=0,0,C8/B8)</f>
        <v>0.875</v>
      </c>
    </row>
    <row r="9" spans="1:5" ht="15" customHeight="1" x14ac:dyDescent="0.3">
      <c r="A9" s="6" t="s">
        <v>288</v>
      </c>
      <c r="B9" s="6">
        <f>SUM(B5:B8)</f>
        <v>34</v>
      </c>
      <c r="C9" s="6">
        <f>SUM(C5:C8)</f>
        <v>29</v>
      </c>
      <c r="D9" s="6">
        <f>SUM(D5:D8)</f>
        <v>5</v>
      </c>
      <c r="E9" s="7">
        <f>IF(B9=0,0,C9/B9)</f>
        <v>0.8529411764705882</v>
      </c>
    </row>
    <row r="11" spans="1:5" ht="13.8" customHeight="1" x14ac:dyDescent="0.3">
      <c r="A11" s="3" t="s">
        <v>294</v>
      </c>
    </row>
    <row r="12" spans="1:5" s="13" customFormat="1" ht="15" customHeight="1" x14ac:dyDescent="0.3">
      <c r="A12" s="10" t="s">
        <v>287</v>
      </c>
      <c r="B12" s="10" t="s">
        <v>288</v>
      </c>
      <c r="C12" s="10" t="s">
        <v>21</v>
      </c>
      <c r="D12" s="10" t="s">
        <v>39</v>
      </c>
      <c r="E12" s="10" t="s">
        <v>289</v>
      </c>
    </row>
    <row r="13" spans="1:5" ht="15" customHeight="1" x14ac:dyDescent="0.3">
      <c r="A13" s="4" t="s">
        <v>14</v>
      </c>
      <c r="B13" s="4">
        <f>COUNTIF('Unit Testing'!C4:C13,"Positive")+COUNTIF('Integration Testing'!C4:C11,"Positive")+COUNTIF('System Testing'!C4:C11,"Positive")+COUNTIF('User Acceptance Testing'!C4:C11,"Positive")</f>
        <v>22</v>
      </c>
      <c r="C13" s="4">
        <f>SUMPRODUCT(('Unit Testing'!C4:C13="Positive")*('Unit Testing'!J4:J13="Pass"))+SUMPRODUCT(('Integration Testing'!C4:C11="Positive")*('Integration Testing'!J4:J11="Pass"))+SUMPRODUCT(('System Testing'!C4:C11="Positive")*('System Testing'!J4:J11="Pass"))+SUMPRODUCT(('User Acceptance Testing'!C4:C11="Positive")*('User Acceptance Testing'!J4:J11="Pass"))</f>
        <v>22</v>
      </c>
      <c r="D13" s="4">
        <f>B13-C13</f>
        <v>0</v>
      </c>
      <c r="E13" s="5">
        <f>IF(B13=0,0,C13/B13)</f>
        <v>1</v>
      </c>
    </row>
    <row r="14" spans="1:5" ht="15" customHeight="1" x14ac:dyDescent="0.3">
      <c r="A14" s="4" t="s">
        <v>25</v>
      </c>
      <c r="B14" s="4">
        <f>COUNTIF('Unit Testing'!C4:C13,"Negative")+COUNTIF('Integration Testing'!C4:C11,"Negative")+COUNTIF('System Testing'!C4:C11,"Negative")+COUNTIF('User Acceptance Testing'!C4:C11,"Negative")</f>
        <v>12</v>
      </c>
      <c r="C14" s="4">
        <f>SUMPRODUCT(('Unit Testing'!C4:C13="Negative")*('Unit Testing'!J4:J13="Pass"))+SUMPRODUCT(('Integration Testing'!C4:C11="Negative")*('Integration Testing'!J4:J11="Pass"))+SUMPRODUCT(('System Testing'!C4:C11="Negative")*('System Testing'!J4:J11="Pass"))+SUMPRODUCT(('User Acceptance Testing'!C4:C11="Negative")*('User Acceptance Testing'!J4:J11="Pass"))</f>
        <v>7</v>
      </c>
      <c r="D14" s="4">
        <f>B14-C14</f>
        <v>5</v>
      </c>
      <c r="E14" s="5">
        <f>IF(B14=0,0,C14/B14)</f>
        <v>0.58333333333333337</v>
      </c>
    </row>
    <row r="22" spans="1:15" ht="15" customHeight="1" x14ac:dyDescent="0.3">
      <c r="A22" s="14" t="s">
        <v>298</v>
      </c>
      <c r="N22" t="s">
        <v>297</v>
      </c>
      <c r="O22" t="s">
        <v>296</v>
      </c>
    </row>
    <row r="23" spans="1:15" ht="15" customHeight="1" x14ac:dyDescent="0.3">
      <c r="A23" s="8" t="s">
        <v>21</v>
      </c>
      <c r="B23" s="8">
        <f>C9</f>
        <v>29</v>
      </c>
    </row>
    <row r="24" spans="1:15" ht="15" customHeight="1" x14ac:dyDescent="0.3">
      <c r="A24" s="8" t="s">
        <v>39</v>
      </c>
      <c r="B24" s="8">
        <f>D9</f>
        <v>5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Unit Testing</vt:lpstr>
      <vt:lpstr>Integration Testing</vt:lpstr>
      <vt:lpstr>System Testing</vt:lpstr>
      <vt:lpstr>User Acceptance Testing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Sandhya Dahal</dc:creator>
  <dc:description/>
  <cp:lastModifiedBy>sandhya dahal</cp:lastModifiedBy>
  <cp:revision>3</cp:revision>
  <dcterms:created xsi:type="dcterms:W3CDTF">2026-08-18T13:31:17Z</dcterms:created>
  <dcterms:modified xsi:type="dcterms:W3CDTF">2026-08-18T14:39:22Z</dcterms:modified>
  <dc:language>en-US</dc:language>
</cp:coreProperties>
</file>